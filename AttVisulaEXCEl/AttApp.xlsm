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LCode\AttVisulaEXCEl\"/>
    </mc:Choice>
  </mc:AlternateContent>
  <xr:revisionPtr revIDLastSave="0" documentId="13_ncr:1_{DC5BAEA2-6DA0-4508-9AC6-E4FBACFA056C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" i="1" l="1"/>
  <c r="L24" i="1" l="1"/>
  <c r="L8" i="1" l="1"/>
  <c r="L7" i="1" l="1"/>
  <c r="L15" i="1" l="1"/>
  <c r="L16" i="1"/>
  <c r="L13" i="1"/>
  <c r="L14" i="1"/>
  <c r="L18" i="1"/>
  <c r="L17" i="1"/>
  <c r="L5" i="1" l="1"/>
  <c r="L33" i="1" l="1"/>
  <c r="L31" i="1" l="1"/>
  <c r="L27" i="1" l="1"/>
  <c r="L26" i="1"/>
  <c r="L34" i="1" l="1"/>
  <c r="L35" i="1" l="1"/>
  <c r="L9" i="1" l="1"/>
  <c r="L19" i="1" l="1"/>
  <c r="L20" i="1"/>
  <c r="L12" i="1"/>
  <c r="L10" i="1"/>
  <c r="L6" i="1"/>
  <c r="O4" i="1" l="1"/>
  <c r="L21" i="1" l="1"/>
  <c r="L22" i="1"/>
  <c r="L23" i="1"/>
  <c r="L25" i="1"/>
  <c r="L28" i="1"/>
  <c r="L29" i="1"/>
  <c r="L30" i="1"/>
  <c r="L32" i="1"/>
  <c r="P14" i="1" l="1"/>
  <c r="P15" i="1" s="1"/>
  <c r="P16" i="1" l="1"/>
</calcChain>
</file>

<file path=xl/sharedStrings.xml><?xml version="1.0" encoding="utf-8"?>
<sst xmlns="http://schemas.openxmlformats.org/spreadsheetml/2006/main" count="9" uniqueCount="9">
  <si>
    <t>Working Day</t>
  </si>
  <si>
    <t>AVG Time</t>
  </si>
  <si>
    <t>Date</t>
  </si>
  <si>
    <t>IN</t>
  </si>
  <si>
    <t>OUT</t>
  </si>
  <si>
    <t>AVG</t>
  </si>
  <si>
    <t>Lackings</t>
  </si>
  <si>
    <t>Extra</t>
  </si>
  <si>
    <t>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</si>
</sst>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400]h:mm:ss\ AM/PM"/>
    <numFmt numFmtId="165" formatCode="h:mm:ss;@"/>
    <numFmt numFmtId="166" formatCode="[$-409]h:mm:ss\ AM/PM;@"/>
    <numFmt numFmtId="167" formatCode="[$-F800]dddd\,\ mmmm\ dd\,\ yyyy"/>
    <numFmt numFmtId="168" formatCode="mmmm\ yyyy"/>
    <numFmt numFmtId="169" formatCode="[$-409]hh:mm:ss\ AM/PM;@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Digital-7 Mono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4" xfId="0" applyBorder="1"/>
    <xf numFmtId="166" fontId="0" fillId="0" borderId="5" xfId="0" applyNumberFormat="1" applyBorder="1"/>
    <xf numFmtId="164" fontId="0" fillId="0" borderId="5" xfId="0" applyNumberFormat="1" applyBorder="1"/>
    <xf numFmtId="165" fontId="0" fillId="0" borderId="6" xfId="0" applyNumberFormat="1" applyBorder="1"/>
    <xf numFmtId="0" fontId="2" fillId="0" borderId="4" xfId="0" applyFont="1" applyFill="1" applyBorder="1"/>
    <xf numFmtId="166" fontId="2" fillId="0" borderId="5" xfId="0" applyNumberFormat="1" applyFont="1" applyFill="1" applyBorder="1"/>
    <xf numFmtId="165" fontId="2" fillId="0" borderId="6" xfId="0" applyNumberFormat="1" applyFont="1" applyFill="1" applyBorder="1"/>
    <xf numFmtId="0" fontId="0" fillId="0" borderId="4" xfId="0" applyFill="1" applyBorder="1"/>
    <xf numFmtId="166" fontId="0" fillId="0" borderId="5" xfId="0" applyNumberFormat="1" applyFill="1" applyBorder="1"/>
    <xf numFmtId="165" fontId="0" fillId="0" borderId="6" xfId="0" applyNumberFormat="1" applyFill="1" applyBorder="1"/>
    <xf numFmtId="0" fontId="0" fillId="0" borderId="0" xfId="0" applyFill="1"/>
    <xf numFmtId="164" fontId="0" fillId="0" borderId="5" xfId="0" applyNumberFormat="1" applyFill="1" applyBorder="1"/>
    <xf numFmtId="0" fontId="0" fillId="0" borderId="7" xfId="0" applyFill="1" applyBorder="1"/>
    <xf numFmtId="166" fontId="0" fillId="0" borderId="8" xfId="0" applyNumberFormat="1" applyFill="1" applyBorder="1"/>
    <xf numFmtId="165" fontId="0" fillId="0" borderId="9" xfId="0" applyNumberFormat="1" applyFill="1" applyBorder="1"/>
    <xf numFmtId="0" fontId="0" fillId="0" borderId="11" xfId="0" applyBorder="1"/>
    <xf numFmtId="165" fontId="0" fillId="0" borderId="13" xfId="0" applyNumberFormat="1" applyBorder="1"/>
    <xf numFmtId="165" fontId="0" fillId="0" borderId="15" xfId="0" applyNumberFormat="1" applyBorder="1"/>
    <xf numFmtId="0" fontId="1" fillId="0" borderId="10" xfId="0" applyFont="1" applyBorder="1"/>
    <xf numFmtId="0" fontId="1" fillId="0" borderId="12" xfId="0" applyFont="1" applyBorder="1"/>
    <xf numFmtId="0" fontId="1" fillId="0" borderId="14" xfId="0" applyFont="1" applyBorder="1"/>
    <xf numFmtId="22" fontId="0" fillId="0" borderId="0" xfId="0" applyNumberFormat="1"/>
    <xf numFmtId="166" fontId="0" fillId="0" borderId="0" xfId="0" applyNumberFormat="1"/>
    <xf numFmtId="19" fontId="0" fillId="0" borderId="0" xfId="0" applyNumberFormat="1"/>
    <xf numFmtId="19" fontId="0" fillId="0" borderId="0" xfId="0" applyNumberFormat="1" applyFill="1"/>
    <xf numFmtId="0" fontId="0" fillId="0" borderId="0" xfId="0" applyNumberFormat="1"/>
    <xf numFmtId="169" fontId="3" fillId="3" borderId="16" xfId="0" applyNumberFormat="1" applyFont="1" applyFill="1" applyBorder="1" applyAlignment="1">
      <alignment horizontal="center" vertical="center"/>
    </xf>
    <xf numFmtId="169" fontId="3" fillId="3" borderId="17" xfId="0" applyNumberFormat="1" applyFont="1" applyFill="1" applyBorder="1" applyAlignment="1">
      <alignment horizontal="center" vertical="center"/>
    </xf>
    <xf numFmtId="169" fontId="3" fillId="3" borderId="18" xfId="0" applyNumberFormat="1" applyFont="1" applyFill="1" applyBorder="1" applyAlignment="1">
      <alignment horizontal="center" vertical="center"/>
    </xf>
    <xf numFmtId="169" fontId="3" fillId="3" borderId="19" xfId="0" applyNumberFormat="1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167" fontId="1" fillId="3" borderId="20" xfId="0" applyNumberFormat="1" applyFont="1" applyFill="1" applyBorder="1" applyAlignment="1">
      <alignment horizontal="center"/>
    </xf>
    <xf numFmtId="167" fontId="1" fillId="3" borderId="21" xfId="0" applyNumberFormat="1" applyFont="1" applyFill="1" applyBorder="1" applyAlignment="1">
      <alignment horizontal="center"/>
    </xf>
    <xf numFmtId="168" fontId="1" fillId="0" borderId="26" xfId="0" applyNumberFormat="1" applyFont="1" applyBorder="1" applyAlignment="1">
      <alignment horizontal="center"/>
    </xf>
    <xf numFmtId="168" fontId="1" fillId="0" borderId="27" xfId="0" applyNumberFormat="1" applyFont="1" applyBorder="1" applyAlignment="1">
      <alignment horizontal="center"/>
    </xf>
    <xf numFmtId="168" fontId="1" fillId="0" borderId="28" xfId="0" applyNumberFormat="1" applyFont="1" applyBorder="1" applyAlignment="1">
      <alignment horizontal="center"/>
    </xf>
  </cellXfs>
  <cellStyles count="1">
    <cellStyle name="Normal" xfId="0" builtinId="0"/>
  </cellStyles>
  <dxfs count="6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fgColor auto="1"/>
          <bgColor rgb="FFFF7575"/>
        </patternFill>
      </fill>
    </dxf>
    <dxf>
      <fill>
        <patternFill>
          <bgColor rgb="FF00FF00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FF00"/>
      <color rgb="FFFF7575"/>
      <color rgb="FFFF5050"/>
      <color rgb="FFFF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1038225</xdr:colOff>
          <xdr:row>7</xdr:row>
          <xdr:rowOff>0</xdr:rowOff>
        </xdr:from>
        <xdr:to>
          <xdr:col>15</xdr:col>
          <xdr:colOff>1038225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14</xdr:col>
          <xdr:colOff>1114425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11</xdr:col>
          <xdr:colOff>781050</xdr:colOff>
          <xdr:row>36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35"/>
  <sheetViews>
    <sheetView tabSelected="1" topLeftCell="H1" zoomScale="107" zoomScaleNormal="295" workbookViewId="0">
      <selection activeCell="N19" sqref="N19"/>
    </sheetView>
  </sheetViews>
  <sheetFormatPr defaultRowHeight="15"/>
  <cols>
    <col min="10" max="11" width="11.5703125" bestFit="1" customWidth="1"/>
    <col min="12" max="12" width="11.28515625" customWidth="1"/>
    <col min="13" max="13" width="11.28515625" bestFit="1" customWidth="1"/>
    <col min="14" max="14" width="12.42578125" bestFit="1" customWidth="1"/>
    <col min="15" max="15" width="16" customWidth="1"/>
    <col min="16" max="16" width="14.85546875" customWidth="1"/>
    <col min="18" max="18" width="30" customWidth="1"/>
    <col min="19" max="19" width="17.5703125" customWidth="1"/>
  </cols>
  <sheetData>
    <row r="1" spans="2:19">
      <c r="B1" s="27"/>
    </row>
    <row r="2" spans="2:19" ht="15.75" thickBot="1"/>
    <row r="3" spans="2:19" ht="15.75" thickBot="1">
      <c r="I3" s="40">
        <v>45352</v>
      </c>
      <c r="J3" s="41"/>
      <c r="K3" s="41"/>
      <c r="L3" s="42"/>
    </row>
    <row r="4" spans="2:19">
      <c r="I4" s="1" t="s">
        <v>2</v>
      </c>
      <c r="J4" s="2" t="s">
        <v>3</v>
      </c>
      <c r="K4" s="2" t="s">
        <v>4</v>
      </c>
      <c r="L4" s="3" t="s">
        <v>5</v>
      </c>
      <c r="O4" s="38">
        <f ca="1">NOW()</f>
        <v>45383.452199074076</v>
      </c>
      <c r="P4" s="39"/>
      <c r="R4" s="25"/>
      <c r="S4" s="25"/>
    </row>
    <row r="5" spans="2:19">
      <c r="G5" s="27"/>
      <c r="H5" s="27"/>
      <c r="I5" s="4">
        <v>1</v>
      </c>
      <c r="J5" s="5">
        <v>0.45833333333333331</v>
      </c>
      <c r="K5" s="6">
        <v>0.8125</v>
      </c>
      <c r="L5" s="7">
        <f>K5-J5</f>
        <v>0.35416666666666669</v>
      </c>
      <c r="O5" s="30">
        <v>0.45219907407407406</v>
      </c>
      <c r="P5" s="31"/>
    </row>
    <row r="6" spans="2:19" ht="15.75" thickBot="1">
      <c r="G6" s="27"/>
      <c r="H6" s="27"/>
      <c r="I6" s="4">
        <v>2</v>
      </c>
      <c r="J6" s="5">
        <v>0.44444444444444442</v>
      </c>
      <c r="K6" s="5">
        <v>0.75</v>
      </c>
      <c r="L6" s="7">
        <f t="shared" ref="L6:L20" si="0">K6-J6</f>
        <v>0.30555555555555558</v>
      </c>
      <c r="O6" s="32"/>
      <c r="P6" s="33"/>
    </row>
    <row r="7" spans="2:19">
      <c r="G7" s="27"/>
      <c r="H7" s="27"/>
      <c r="I7" s="8">
        <v>3</v>
      </c>
      <c r="J7" s="9">
        <v>0.375</v>
      </c>
      <c r="K7" s="9">
        <v>0.79166666666666663</v>
      </c>
      <c r="L7" s="10">
        <f>K7-J7</f>
        <v>0.41666666666666663</v>
      </c>
      <c r="O7" s="27"/>
    </row>
    <row r="8" spans="2:19">
      <c r="G8" s="27"/>
      <c r="H8" s="27"/>
      <c r="I8" s="4">
        <v>4</v>
      </c>
      <c r="J8" s="5">
        <v>0.47222222222222227</v>
      </c>
      <c r="K8" s="6">
        <v>0.83846064814814814</v>
      </c>
      <c r="L8" s="7">
        <f>K8-J8</f>
        <v>0.36623842592592587</v>
      </c>
      <c r="M8" s="29"/>
    </row>
    <row r="9" spans="2:19">
      <c r="G9" s="27"/>
      <c r="H9" s="27"/>
      <c r="I9" s="4">
        <v>5</v>
      </c>
      <c r="J9" s="5">
        <v>0.44444444444444442</v>
      </c>
      <c r="K9" s="6">
        <v>0.82517361111111109</v>
      </c>
      <c r="L9" s="7">
        <f>K9-J9</f>
        <v>0.38072916666666667</v>
      </c>
      <c r="R9" s="26"/>
    </row>
    <row r="10" spans="2:19" ht="15.75" thickBot="1">
      <c r="G10" s="27"/>
      <c r="H10" s="27"/>
      <c r="I10" s="4">
        <v>6</v>
      </c>
      <c r="J10" s="5">
        <v>0.46523148148148147</v>
      </c>
      <c r="K10" s="6">
        <v>0.83333333333333337</v>
      </c>
      <c r="L10" s="7">
        <f t="shared" si="0"/>
        <v>0.3681018518518519</v>
      </c>
    </row>
    <row r="11" spans="2:19">
      <c r="G11" s="27"/>
      <c r="H11" s="27"/>
      <c r="I11" s="4">
        <v>7</v>
      </c>
      <c r="J11" s="5">
        <v>0.47361111111111115</v>
      </c>
      <c r="K11" s="6">
        <v>0.78172453703703704</v>
      </c>
      <c r="L11" s="7">
        <f>K11-J11</f>
        <v>0.30811342592592589</v>
      </c>
      <c r="O11" s="34" t="s">
        <v>8</v>
      </c>
      <c r="P11" s="35"/>
      <c r="S11" s="29"/>
    </row>
    <row r="12" spans="2:19" ht="15.75" thickBot="1">
      <c r="G12" s="27"/>
      <c r="H12" s="27"/>
      <c r="I12" s="4">
        <v>8</v>
      </c>
      <c r="J12" s="5">
        <v>0.45833333333333331</v>
      </c>
      <c r="K12" s="6">
        <v>0.8125</v>
      </c>
      <c r="L12" s="7">
        <f t="shared" si="0"/>
        <v>0.35416666666666669</v>
      </c>
      <c r="O12" s="36"/>
      <c r="P12" s="37"/>
    </row>
    <row r="13" spans="2:19">
      <c r="G13" s="27"/>
      <c r="H13" s="27"/>
      <c r="I13" s="4">
        <v>9</v>
      </c>
      <c r="J13" s="5">
        <v>0.45833333333333331</v>
      </c>
      <c r="K13" s="12">
        <v>0.8305324074074073</v>
      </c>
      <c r="L13" s="7">
        <f t="shared" ref="L13:L18" si="1">K13-J13</f>
        <v>0.37219907407407399</v>
      </c>
      <c r="O13" s="22" t="s">
        <v>0</v>
      </c>
      <c r="P13" s="19">
        <v>27</v>
      </c>
    </row>
    <row r="14" spans="2:19">
      <c r="G14" s="27"/>
      <c r="H14" s="27"/>
      <c r="I14" s="11">
        <v>10</v>
      </c>
      <c r="J14" s="12">
        <v>0.44861111111111113</v>
      </c>
      <c r="K14" s="6">
        <v>0.85207175925925915</v>
      </c>
      <c r="L14" s="13">
        <f t="shared" si="1"/>
        <v>0.40346064814814803</v>
      </c>
      <c r="O14" s="23" t="s">
        <v>1</v>
      </c>
      <c r="P14" s="20">
        <f>SUM(L5:L35)/P13</f>
        <v>0.37091649519890252</v>
      </c>
    </row>
    <row r="15" spans="2:19">
      <c r="G15" s="27"/>
      <c r="H15" s="27"/>
      <c r="I15" s="4">
        <v>11</v>
      </c>
      <c r="J15" s="5">
        <v>0.44444444444444442</v>
      </c>
      <c r="K15" s="6">
        <v>0.82125000000000004</v>
      </c>
      <c r="L15" s="7">
        <f t="shared" si="1"/>
        <v>0.37680555555555562</v>
      </c>
      <c r="O15" s="23" t="s">
        <v>6</v>
      </c>
      <c r="P15" s="20">
        <f>(TIME(8,30,0)-P14)*P13</f>
        <v>-0.45224537037036749</v>
      </c>
    </row>
    <row r="16" spans="2:19" ht="15.75" thickBot="1">
      <c r="G16" s="27"/>
      <c r="H16" s="27"/>
      <c r="I16" s="4">
        <v>12</v>
      </c>
      <c r="J16" s="5">
        <v>0.375</v>
      </c>
      <c r="K16" s="6">
        <v>0.71736111111111101</v>
      </c>
      <c r="L16" s="7">
        <f t="shared" si="1"/>
        <v>0.34236111111111101</v>
      </c>
      <c r="O16" s="24" t="s">
        <v>7</v>
      </c>
      <c r="P16" s="21">
        <f>(P14-TIME(8,30,0))*P13</f>
        <v>0.45224537037036749</v>
      </c>
    </row>
    <row r="17" spans="7:14">
      <c r="G17" s="27"/>
      <c r="H17" s="27"/>
      <c r="I17" s="4">
        <v>13</v>
      </c>
      <c r="J17" s="5">
        <v>0.41180555555555554</v>
      </c>
      <c r="K17" s="6">
        <v>0.73472222222222217</v>
      </c>
      <c r="L17" s="7">
        <f t="shared" si="1"/>
        <v>0.32291666666666663</v>
      </c>
    </row>
    <row r="18" spans="7:14">
      <c r="G18" s="27"/>
      <c r="H18" s="27"/>
      <c r="I18" s="4">
        <v>14</v>
      </c>
      <c r="J18" s="5">
        <v>0.42756944444444445</v>
      </c>
      <c r="K18" s="6">
        <v>0.8125</v>
      </c>
      <c r="L18" s="7">
        <f t="shared" si="1"/>
        <v>0.38493055555555555</v>
      </c>
    </row>
    <row r="19" spans="7:14">
      <c r="G19" s="27"/>
      <c r="H19" s="27"/>
      <c r="I19" s="4">
        <v>15</v>
      </c>
      <c r="J19" s="5">
        <v>0.45833333333333331</v>
      </c>
      <c r="K19" s="6">
        <v>0.45833333333333331</v>
      </c>
      <c r="L19" s="7">
        <f t="shared" si="0"/>
        <v>0</v>
      </c>
    </row>
    <row r="20" spans="7:14">
      <c r="G20" s="27"/>
      <c r="H20" s="27"/>
      <c r="I20" s="4">
        <v>16</v>
      </c>
      <c r="J20" s="5">
        <v>0.45833333333333331</v>
      </c>
      <c r="K20" s="6">
        <v>0.8125</v>
      </c>
      <c r="L20" s="7">
        <f t="shared" si="0"/>
        <v>0.35416666666666669</v>
      </c>
    </row>
    <row r="21" spans="7:14">
      <c r="G21" s="27"/>
      <c r="H21" s="27"/>
      <c r="I21" s="11">
        <v>17</v>
      </c>
      <c r="J21" s="12">
        <v>0.45833333333333331</v>
      </c>
      <c r="K21" s="12">
        <v>0.8125</v>
      </c>
      <c r="L21" s="13">
        <f t="shared" ref="L21:L33" si="2">K21-J21</f>
        <v>0.35416666666666669</v>
      </c>
    </row>
    <row r="22" spans="7:14">
      <c r="G22" s="27"/>
      <c r="H22" s="27"/>
      <c r="I22" s="4">
        <v>18</v>
      </c>
      <c r="J22" s="5">
        <v>0.45833333333333331</v>
      </c>
      <c r="K22" s="6">
        <v>0.8125</v>
      </c>
      <c r="L22" s="7">
        <f t="shared" si="2"/>
        <v>0.35416666666666669</v>
      </c>
    </row>
    <row r="23" spans="7:14">
      <c r="G23" s="27"/>
      <c r="H23" s="27"/>
      <c r="I23" s="4">
        <v>19</v>
      </c>
      <c r="J23" s="5">
        <v>0.45833333333333331</v>
      </c>
      <c r="K23" s="6">
        <v>0.8125</v>
      </c>
      <c r="L23" s="7">
        <f t="shared" si="2"/>
        <v>0.35416666666666669</v>
      </c>
    </row>
    <row r="24" spans="7:14">
      <c r="G24" s="27"/>
      <c r="H24" s="27"/>
      <c r="I24" s="4">
        <v>20</v>
      </c>
      <c r="J24" s="5">
        <v>0.45833333333333331</v>
      </c>
      <c r="K24" s="6">
        <v>0.8125</v>
      </c>
      <c r="L24" s="7">
        <f>K24-J24</f>
        <v>0.35416666666666669</v>
      </c>
    </row>
    <row r="25" spans="7:14">
      <c r="G25" s="27"/>
      <c r="H25" s="28"/>
      <c r="I25" s="11">
        <v>21</v>
      </c>
      <c r="J25" s="12">
        <v>0.45833333333333331</v>
      </c>
      <c r="K25" s="15">
        <v>0.8125</v>
      </c>
      <c r="L25" s="13">
        <f t="shared" si="2"/>
        <v>0.35416666666666669</v>
      </c>
      <c r="M25" s="14"/>
      <c r="N25" s="25"/>
    </row>
    <row r="26" spans="7:14">
      <c r="G26" s="27"/>
      <c r="H26" s="28"/>
      <c r="I26" s="11">
        <v>22</v>
      </c>
      <c r="J26" s="12">
        <v>0.45833333333333331</v>
      </c>
      <c r="K26" s="15">
        <v>0.45833333333333331</v>
      </c>
      <c r="L26" s="13">
        <f>K26-J26</f>
        <v>0</v>
      </c>
      <c r="M26" s="14"/>
    </row>
    <row r="27" spans="7:14">
      <c r="G27" s="27"/>
      <c r="H27" s="28"/>
      <c r="I27" s="11">
        <v>23</v>
      </c>
      <c r="J27" s="12">
        <v>0.45833333333333331</v>
      </c>
      <c r="K27" s="15">
        <v>0.8125</v>
      </c>
      <c r="L27" s="13">
        <f>K27-J27</f>
        <v>0.35416666666666669</v>
      </c>
      <c r="M27" s="14"/>
    </row>
    <row r="28" spans="7:14">
      <c r="G28" s="27"/>
      <c r="H28" s="28"/>
      <c r="I28" s="11">
        <v>24</v>
      </c>
      <c r="J28" s="12">
        <v>0.45833333333333331</v>
      </c>
      <c r="K28" s="12">
        <v>0.8125</v>
      </c>
      <c r="L28" s="13">
        <f t="shared" si="2"/>
        <v>0.35416666666666669</v>
      </c>
      <c r="M28" s="14"/>
    </row>
    <row r="29" spans="7:14">
      <c r="G29" s="27"/>
      <c r="H29" s="28"/>
      <c r="I29" s="11">
        <v>25</v>
      </c>
      <c r="J29" s="12">
        <v>0.45833333333333331</v>
      </c>
      <c r="K29" s="15">
        <v>0.8125</v>
      </c>
      <c r="L29" s="13">
        <f t="shared" si="2"/>
        <v>0.35416666666666669</v>
      </c>
      <c r="M29" s="14"/>
    </row>
    <row r="30" spans="7:14">
      <c r="G30" s="27"/>
      <c r="H30" s="28"/>
      <c r="I30" s="11">
        <v>26</v>
      </c>
      <c r="J30" s="12">
        <v>0.45833333333333331</v>
      </c>
      <c r="K30" s="12">
        <v>0.8125</v>
      </c>
      <c r="L30" s="13">
        <f t="shared" si="2"/>
        <v>0.35416666666666669</v>
      </c>
      <c r="M30" s="14"/>
    </row>
    <row r="31" spans="7:14">
      <c r="G31" s="27"/>
      <c r="H31" s="28"/>
      <c r="I31" s="11">
        <v>27</v>
      </c>
      <c r="J31" s="12">
        <v>0.45833333333333331</v>
      </c>
      <c r="K31" s="15">
        <v>0.8125</v>
      </c>
      <c r="L31" s="13">
        <f>K31-J31</f>
        <v>0.35416666666666669</v>
      </c>
      <c r="M31" s="14"/>
    </row>
    <row r="32" spans="7:14">
      <c r="G32" s="27"/>
      <c r="H32" s="28"/>
      <c r="I32" s="11">
        <v>28</v>
      </c>
      <c r="J32" s="12">
        <v>0.45833333333333331</v>
      </c>
      <c r="K32" s="15">
        <v>0.8125</v>
      </c>
      <c r="L32" s="13">
        <f t="shared" si="2"/>
        <v>0.35416666666666669</v>
      </c>
      <c r="M32" s="14"/>
    </row>
    <row r="33" spans="7:13">
      <c r="G33" s="27"/>
      <c r="H33" s="28"/>
      <c r="I33" s="11">
        <v>29</v>
      </c>
      <c r="J33" s="12">
        <v>0.45833333333333331</v>
      </c>
      <c r="K33" s="15">
        <v>0.45833333333333331</v>
      </c>
      <c r="L33" s="13">
        <f t="shared" si="2"/>
        <v>0</v>
      </c>
      <c r="M33" s="14"/>
    </row>
    <row r="34" spans="7:13">
      <c r="G34" s="27"/>
      <c r="H34" s="28"/>
      <c r="I34" s="11">
        <v>30</v>
      </c>
      <c r="J34" s="12">
        <v>0.45833333333333331</v>
      </c>
      <c r="K34" s="15">
        <v>0.8125</v>
      </c>
      <c r="L34" s="13">
        <f>K34-J34</f>
        <v>0.35416666666666669</v>
      </c>
      <c r="M34" s="14"/>
    </row>
    <row r="35" spans="7:13" ht="15.75" thickBot="1">
      <c r="G35" s="27"/>
      <c r="H35" s="28"/>
      <c r="I35" s="16">
        <v>31</v>
      </c>
      <c r="J35" s="17">
        <v>0.45833333333333331</v>
      </c>
      <c r="K35" s="17">
        <v>0.8125</v>
      </c>
      <c r="L35" s="18">
        <f>K35-J35</f>
        <v>0.35416666666666669</v>
      </c>
      <c r="M35" s="14"/>
    </row>
  </sheetData>
  <mergeCells count="4">
    <mergeCell ref="O5:P6"/>
    <mergeCell ref="O11:P12"/>
    <mergeCell ref="O4:P4"/>
    <mergeCell ref="I3:L3"/>
  </mergeCells>
  <conditionalFormatting sqref="I5:L35">
    <cfRule type="expression" dxfId="5" priority="10">
      <formula>$L5=0</formula>
    </cfRule>
  </conditionalFormatting>
  <conditionalFormatting sqref="L5:L35">
    <cfRule type="expression" dxfId="4" priority="7">
      <formula>$L5=TIME(8,30,0)</formula>
    </cfRule>
    <cfRule type="expression" dxfId="3" priority="8">
      <formula>AND($L5&gt;TIME(0,0,0),$L5&lt;TIME(8,30,0))</formula>
    </cfRule>
    <cfRule type="expression" dxfId="2" priority="9">
      <formula>AND($L5&gt;TIME(0,0,0),$L5&gt;TIME(8,30,0))</formula>
    </cfRule>
  </conditionalFormatting>
  <conditionalFormatting sqref="P15">
    <cfRule type="expression" dxfId="1" priority="3">
      <formula>P14&lt;TIME(8,30,0)</formula>
    </cfRule>
  </conditionalFormatting>
  <conditionalFormatting sqref="P16">
    <cfRule type="expression" dxfId="0" priority="2">
      <formula>P14&gt;TIME(8,30,0)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checkOut">
                <anchor moveWithCells="1" sizeWithCells="1">
                  <from>
                    <xdr:col>14</xdr:col>
                    <xdr:colOff>1038225</xdr:colOff>
                    <xdr:row>7</xdr:row>
                    <xdr:rowOff>0</xdr:rowOff>
                  </from>
                  <to>
                    <xdr:col>15</xdr:col>
                    <xdr:colOff>1038225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heckIn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14</xdr:col>
                    <xdr:colOff>1114425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eet1.resetAll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11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245A-B86B-4713-B7D4-4349CE36C913}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Nirob</cp:lastModifiedBy>
  <dcterms:created xsi:type="dcterms:W3CDTF">2015-06-05T18:17:20Z</dcterms:created>
  <dcterms:modified xsi:type="dcterms:W3CDTF">2024-04-01T04:51:13Z</dcterms:modified>
</cp:coreProperties>
</file>